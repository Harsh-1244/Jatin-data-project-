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oking Data" sheetId="1" state="visible" r:id="rId3"/>
    <sheet name="Analysis &amp; Formulas" sheetId="2" state="visible" r:id="rId4"/>
    <sheet name="Summary 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<sst xmlns="http://schemas.openxmlformats.org/spreadsheetml/2006/main" count="201" uniqueCount="128">
  <si>
    <t xml:space="preserve">GRAND VISTA HOTELS &amp; RESORTS — BOOKING DATA (2024)</t>
  </si>
  <si>
    <t xml:space="preserve">Booking ID</t>
  </si>
  <si>
    <t xml:space="preserve">Guest Name</t>
  </si>
  <si>
    <t xml:space="preserve">Room Type</t>
  </si>
  <si>
    <t xml:space="preserve">Check-In Month</t>
  </si>
  <si>
    <t xml:space="preserve">Nights Stayed</t>
  </si>
  <si>
    <t xml:space="preserve">Room Rate (₹/night)</t>
  </si>
  <si>
    <t xml:space="preserve">Total Room Charge (₹)</t>
  </si>
  <si>
    <t xml:space="preserve">Discount (%)</t>
  </si>
  <si>
    <t xml:space="preserve">Net Charge (₹)</t>
  </si>
  <si>
    <t xml:space="preserve">Meal Plan</t>
  </si>
  <si>
    <t xml:space="preserve">Salesperson</t>
  </si>
  <si>
    <t xml:space="preserve">Location</t>
  </si>
  <si>
    <t xml:space="preserve">Performance</t>
  </si>
  <si>
    <t xml:space="preserve">BK001</t>
  </si>
  <si>
    <t xml:space="preserve">Rajesh Mehta</t>
  </si>
  <si>
    <t xml:space="preserve">Deluxe Room</t>
  </si>
  <si>
    <t xml:space="preserve">Jan</t>
  </si>
  <si>
    <t xml:space="preserve">Breakfast</t>
  </si>
  <si>
    <t xml:space="preserve">Anil Verma</t>
  </si>
  <si>
    <t xml:space="preserve">Shimla</t>
  </si>
  <si>
    <t xml:space="preserve">BK002</t>
  </si>
  <si>
    <t xml:space="preserve">Priya Nair</t>
  </si>
  <si>
    <t xml:space="preserve">Suite</t>
  </si>
  <si>
    <t xml:space="preserve">Full Board</t>
  </si>
  <si>
    <t xml:space="preserve">Sneha Joshi</t>
  </si>
  <si>
    <t xml:space="preserve">Goa</t>
  </si>
  <si>
    <t xml:space="preserve">BK003</t>
  </si>
  <si>
    <t xml:space="preserve">Amit Gupta</t>
  </si>
  <si>
    <t xml:space="preserve">Standard Room</t>
  </si>
  <si>
    <t xml:space="preserve">Feb</t>
  </si>
  <si>
    <t xml:space="preserve">No Meals</t>
  </si>
  <si>
    <t xml:space="preserve">Manali</t>
  </si>
  <si>
    <t xml:space="preserve">BK004</t>
  </si>
  <si>
    <t xml:space="preserve">Sunita Sharma</t>
  </si>
  <si>
    <t xml:space="preserve">Karan Patel</t>
  </si>
  <si>
    <t xml:space="preserve">Udaipur</t>
  </si>
  <si>
    <t xml:space="preserve">BK005</t>
  </si>
  <si>
    <t xml:space="preserve">Vikas Jain</t>
  </si>
  <si>
    <t xml:space="preserve">Family Suite</t>
  </si>
  <si>
    <t xml:space="preserve">Mar</t>
  </si>
  <si>
    <t xml:space="preserve">BK006</t>
  </si>
  <si>
    <t xml:space="preserve">Kavya Reddy</t>
  </si>
  <si>
    <t xml:space="preserve">BK007</t>
  </si>
  <si>
    <t xml:space="preserve">Mohit Sinha</t>
  </si>
  <si>
    <t xml:space="preserve">Apr</t>
  </si>
  <si>
    <t xml:space="preserve">Half Board</t>
  </si>
  <si>
    <t xml:space="preserve">Jaisalmer</t>
  </si>
  <si>
    <t xml:space="preserve">BK008</t>
  </si>
  <si>
    <t xml:space="preserve">Deepa Pillai</t>
  </si>
  <si>
    <t xml:space="preserve">BK009</t>
  </si>
  <si>
    <t xml:space="preserve">Ravi Khanna</t>
  </si>
  <si>
    <t xml:space="preserve">May</t>
  </si>
  <si>
    <t xml:space="preserve">BK010</t>
  </si>
  <si>
    <t xml:space="preserve">Ananya Bose</t>
  </si>
  <si>
    <t xml:space="preserve">Penthouse</t>
  </si>
  <si>
    <t xml:space="preserve">BK011</t>
  </si>
  <si>
    <t xml:space="preserve">Suresh Tiwari</t>
  </si>
  <si>
    <t xml:space="preserve">Jun</t>
  </si>
  <si>
    <t xml:space="preserve">BK012</t>
  </si>
  <si>
    <t xml:space="preserve">Neha Chopra</t>
  </si>
  <si>
    <t xml:space="preserve">BK013</t>
  </si>
  <si>
    <t xml:space="preserve">Ajay Malhotra</t>
  </si>
  <si>
    <t xml:space="preserve">Jul</t>
  </si>
  <si>
    <t xml:space="preserve">BK014</t>
  </si>
  <si>
    <t xml:space="preserve">Pooja Iyer</t>
  </si>
  <si>
    <t xml:space="preserve">BK015</t>
  </si>
  <si>
    <t xml:space="preserve">Rahul Verma</t>
  </si>
  <si>
    <t xml:space="preserve">Aug</t>
  </si>
  <si>
    <t xml:space="preserve">BK016</t>
  </si>
  <si>
    <t xml:space="preserve">Meera Saxena</t>
  </si>
  <si>
    <t xml:space="preserve">BK017</t>
  </si>
  <si>
    <t xml:space="preserve">Kiran Desai</t>
  </si>
  <si>
    <t xml:space="preserve">Sep</t>
  </si>
  <si>
    <t xml:space="preserve">BK018</t>
  </si>
  <si>
    <t xml:space="preserve">Tarun Bajaj</t>
  </si>
  <si>
    <t xml:space="preserve">BK019</t>
  </si>
  <si>
    <t xml:space="preserve">Divya Menon</t>
  </si>
  <si>
    <t xml:space="preserve">Oct</t>
  </si>
  <si>
    <t xml:space="preserve">BK020</t>
  </si>
  <si>
    <t xml:space="preserve">Harsh Agarwal</t>
  </si>
  <si>
    <t xml:space="preserve">GRAND VISTA HOTELS — DATA ANALYSIS (10 KEY FUNCTIONS APPLIED)</t>
  </si>
  <si>
    <t xml:space="preserve">Function No.</t>
  </si>
  <si>
    <t xml:space="preserve">Function Name</t>
  </si>
  <si>
    <t xml:space="preserve">Description</t>
  </si>
  <si>
    <t xml:space="preserve">Formula Used</t>
  </si>
  <si>
    <t xml:space="preserve">Result</t>
  </si>
  <si>
    <t xml:space="preserve">1. SUM</t>
  </si>
  <si>
    <t xml:space="preserve">Total Net Charge collected from all 20 bookings</t>
  </si>
  <si>
    <t xml:space="preserve"> =SUM(I3:I22)</t>
  </si>
  <si>
    <t xml:space="preserve">2. AVERAGE</t>
  </si>
  <si>
    <t xml:space="preserve">Average Nights Stayed across all bookings</t>
  </si>
  <si>
    <t xml:space="preserve"> =AVERAGE(E3:E22)</t>
  </si>
  <si>
    <t xml:space="preserve">3. MAX</t>
  </si>
  <si>
    <t xml:space="preserve">Highest Room Rate per night in dataset</t>
  </si>
  <si>
    <t xml:space="preserve"> =MAX(F3:F22)</t>
  </si>
  <si>
    <t xml:space="preserve">4. MIN</t>
  </si>
  <si>
    <t xml:space="preserve">Lowest Room Rate per night in dataset</t>
  </si>
  <si>
    <t xml:space="preserve"> =MIN(F3:F22)</t>
  </si>
  <si>
    <t xml:space="preserve">5. COUNT</t>
  </si>
  <si>
    <t xml:space="preserve">Total number of booking transactions</t>
  </si>
  <si>
    <t xml:space="preserve"> =COUNT(E3:E22)</t>
  </si>
  <si>
    <t xml:space="preserve">6. COUNTIF</t>
  </si>
  <si>
    <t xml:space="preserve">Count of Suite bookings in the dataset</t>
  </si>
  <si>
    <t xml:space="preserve"> =COUNTIF(C3:C22,"Suite")</t>
  </si>
  <si>
    <t xml:space="preserve">7. SUMIF</t>
  </si>
  <si>
    <t xml:space="preserve">Total Net Charge from Goa location only</t>
  </si>
  <si>
    <t xml:space="preserve"> =SUMIF(L3:L22,"Goa",I3:I22)</t>
  </si>
  <si>
    <t xml:space="preserve">8. AVERAGEIF</t>
  </si>
  <si>
    <t xml:space="preserve">Average Discount % given on Penthouse rooms</t>
  </si>
  <si>
    <t xml:space="preserve"> =AVERAGEIF(C3:C22,"Penthouse",H3:H22)</t>
  </si>
  <si>
    <t xml:space="preserve">9. IF</t>
  </si>
  <si>
    <t xml:space="preserve">Flags booking as Long Stay (&gt;=5 nights) or Short Stay</t>
  </si>
  <si>
    <t xml:space="preserve"> =IF(E3&gt;=5,"Long Stay","Short Stay") — col M</t>
  </si>
  <si>
    <t xml:space="preserve">10. VLOOKUP</t>
  </si>
  <si>
    <t xml:space="preserve">Lookup Net Charge for Booking ID BK007</t>
  </si>
  <si>
    <t xml:space="preserve"> =VLOOKUP("BK007",A3:I22,9,FALSE)</t>
  </si>
  <si>
    <t xml:space="preserve">GRAND VISTA HOTELS — EXECUTIVE SUMMARY DASHBOARD</t>
  </si>
  <si>
    <t xml:space="preserve">KPI</t>
  </si>
  <si>
    <t xml:space="preserve">Value</t>
  </si>
  <si>
    <t xml:space="preserve">Total Bookings</t>
  </si>
  <si>
    <t xml:space="preserve">Total Net Revenue (₹)</t>
  </si>
  <si>
    <t xml:space="preserve">Average Net Charge per Booking (₹)</t>
  </si>
  <si>
    <t xml:space="preserve">Longest Stay (Nights)</t>
  </si>
  <si>
    <t xml:space="preserve">Shortest Stay (Nights)</t>
  </si>
  <si>
    <t xml:space="preserve">Suite Bookings Count</t>
  </si>
  <si>
    <t xml:space="preserve">Total Revenue from Goa (₹)</t>
  </si>
  <si>
    <t xml:space="preserve">Avg Discount on Penthouse (%)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</si>
</sst>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B4332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4332"/>
        <bgColor rgb="FF333300"/>
      </patternFill>
    </fill>
    <fill>
      <patternFill patternType="solid">
        <fgColor rgb="FF2D6A4F"/>
        <bgColor rgb="FF1B4332"/>
      </patternFill>
    </fill>
    <fill>
      <patternFill patternType="solid">
        <fgColor rgb="FFFFFFFF"/>
        <bgColor rgb="FFFFF3CD"/>
      </patternFill>
    </fill>
    <fill>
      <patternFill patternType="solid">
        <fgColor rgb="FFFFF3CD"/>
        <bgColor rgb="FFFFFFFF"/>
      </patternFill>
    </fill>
    <fill>
      <patternFill patternType="solid">
        <fgColor rgb="FFD8F3DC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F3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1B4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3" min="13" style="0" width="1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9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customFormat="false" ht="15" hidden="false" customHeight="false" outlineLevel="0" collapsed="false">
      <c r="A3" s="3" t="s">
        <v>14</v>
      </c>
      <c r="B3" s="3" t="s">
        <v>15</v>
      </c>
      <c r="C3" s="3" t="s">
        <v>16</v>
      </c>
      <c r="D3" s="3" t="s">
        <v>17</v>
      </c>
      <c r="E3" s="3" t="n">
        <v>3</v>
      </c>
      <c r="F3" s="4" t="n">
        <v>4500</v>
      </c>
      <c r="G3" s="5" t="n">
        <f aca="false">E3*F3</f>
        <v>13500</v>
      </c>
      <c r="H3" s="3" t="n">
        <v>10</v>
      </c>
      <c r="I3" s="5" t="n">
        <f aca="false">G3*(1-H3/100)</f>
        <v>12150</v>
      </c>
      <c r="J3" s="3" t="s">
        <v>18</v>
      </c>
      <c r="K3" s="3" t="s">
        <v>19</v>
      </c>
      <c r="L3" s="3" t="s">
        <v>20</v>
      </c>
    </row>
    <row r="4" customFormat="false" ht="15" hidden="false" customHeight="false" outlineLevel="0" collapsed="false">
      <c r="A4" s="6" t="s">
        <v>21</v>
      </c>
      <c r="B4" s="6" t="s">
        <v>22</v>
      </c>
      <c r="C4" s="6" t="s">
        <v>23</v>
      </c>
      <c r="D4" s="6" t="s">
        <v>17</v>
      </c>
      <c r="E4" s="6" t="n">
        <v>5</v>
      </c>
      <c r="F4" s="7" t="n">
        <v>12000</v>
      </c>
      <c r="G4" s="5" t="n">
        <f aca="false">E4*F4</f>
        <v>60000</v>
      </c>
      <c r="H4" s="6" t="n">
        <v>15</v>
      </c>
      <c r="I4" s="5" t="n">
        <f aca="false">G4*(1-H4/100)</f>
        <v>51000</v>
      </c>
      <c r="J4" s="6" t="s">
        <v>24</v>
      </c>
      <c r="K4" s="6" t="s">
        <v>25</v>
      </c>
      <c r="L4" s="6" t="s">
        <v>26</v>
      </c>
    </row>
    <row r="5" customFormat="false" ht="15" hidden="false" customHeight="false" outlineLevel="0" collapsed="false">
      <c r="A5" s="3" t="s">
        <v>27</v>
      </c>
      <c r="B5" s="3" t="s">
        <v>28</v>
      </c>
      <c r="C5" s="3" t="s">
        <v>29</v>
      </c>
      <c r="D5" s="3" t="s">
        <v>30</v>
      </c>
      <c r="E5" s="3" t="n">
        <v>2</v>
      </c>
      <c r="F5" s="4" t="n">
        <v>2800</v>
      </c>
      <c r="G5" s="5" t="n">
        <f aca="false">E5*F5</f>
        <v>5600</v>
      </c>
      <c r="H5" s="3" t="n">
        <v>5</v>
      </c>
      <c r="I5" s="5" t="n">
        <f aca="false">G5*(1-H5/100)</f>
        <v>5320</v>
      </c>
      <c r="J5" s="3" t="s">
        <v>31</v>
      </c>
      <c r="K5" s="3" t="s">
        <v>19</v>
      </c>
      <c r="L5" s="3" t="s">
        <v>32</v>
      </c>
    </row>
    <row r="6" customFormat="false" ht="15" hidden="false" customHeight="false" outlineLevel="0" collapsed="false">
      <c r="A6" s="6" t="s">
        <v>33</v>
      </c>
      <c r="B6" s="6" t="s">
        <v>34</v>
      </c>
      <c r="C6" s="6" t="s">
        <v>16</v>
      </c>
      <c r="D6" s="6" t="s">
        <v>30</v>
      </c>
      <c r="E6" s="6" t="n">
        <v>4</v>
      </c>
      <c r="F6" s="7" t="n">
        <v>4500</v>
      </c>
      <c r="G6" s="5" t="n">
        <f aca="false">E6*F6</f>
        <v>18000</v>
      </c>
      <c r="H6" s="6" t="n">
        <v>8</v>
      </c>
      <c r="I6" s="5" t="n">
        <f aca="false">G6*(1-H6/100)</f>
        <v>16560</v>
      </c>
      <c r="J6" s="6" t="s">
        <v>18</v>
      </c>
      <c r="K6" s="6" t="s">
        <v>35</v>
      </c>
      <c r="L6" s="6" t="s">
        <v>36</v>
      </c>
    </row>
    <row r="7" customFormat="false" ht="15" hidden="false" customHeight="false" outlineLevel="0" collapsed="false">
      <c r="A7" s="3" t="s">
        <v>37</v>
      </c>
      <c r="B7" s="3" t="s">
        <v>38</v>
      </c>
      <c r="C7" s="3" t="s">
        <v>39</v>
      </c>
      <c r="D7" s="3" t="s">
        <v>40</v>
      </c>
      <c r="E7" s="3" t="n">
        <v>6</v>
      </c>
      <c r="F7" s="4" t="n">
        <v>15000</v>
      </c>
      <c r="G7" s="5" t="n">
        <f aca="false">E7*F7</f>
        <v>90000</v>
      </c>
      <c r="H7" s="3" t="n">
        <v>12</v>
      </c>
      <c r="I7" s="5" t="n">
        <f aca="false">G7*(1-H7/100)</f>
        <v>79200</v>
      </c>
      <c r="J7" s="3" t="s">
        <v>24</v>
      </c>
      <c r="K7" s="3" t="s">
        <v>25</v>
      </c>
      <c r="L7" s="3" t="s">
        <v>20</v>
      </c>
    </row>
    <row r="8" customFormat="false" ht="15" hidden="false" customHeight="false" outlineLevel="0" collapsed="false">
      <c r="A8" s="6" t="s">
        <v>41</v>
      </c>
      <c r="B8" s="6" t="s">
        <v>42</v>
      </c>
      <c r="C8" s="6" t="s">
        <v>29</v>
      </c>
      <c r="D8" s="6" t="s">
        <v>40</v>
      </c>
      <c r="E8" s="6" t="n">
        <v>2</v>
      </c>
      <c r="F8" s="7" t="n">
        <v>2800</v>
      </c>
      <c r="G8" s="5" t="n">
        <f aca="false">E8*F8</f>
        <v>5600</v>
      </c>
      <c r="H8" s="6" t="n">
        <v>3</v>
      </c>
      <c r="I8" s="5" t="n">
        <f aca="false">G8*(1-H8/100)</f>
        <v>5432</v>
      </c>
      <c r="J8" s="6" t="s">
        <v>31</v>
      </c>
      <c r="K8" s="6" t="s">
        <v>19</v>
      </c>
      <c r="L8" s="6" t="s">
        <v>26</v>
      </c>
    </row>
    <row r="9" customFormat="false" ht="15" hidden="false" customHeight="false" outlineLevel="0" collapsed="false">
      <c r="A9" s="3" t="s">
        <v>43</v>
      </c>
      <c r="B9" s="3" t="s">
        <v>44</v>
      </c>
      <c r="C9" s="3" t="s">
        <v>23</v>
      </c>
      <c r="D9" s="3" t="s">
        <v>45</v>
      </c>
      <c r="E9" s="3" t="n">
        <v>7</v>
      </c>
      <c r="F9" s="4" t="n">
        <v>12000</v>
      </c>
      <c r="G9" s="5" t="n">
        <f aca="false">E9*F9</f>
        <v>84000</v>
      </c>
      <c r="H9" s="3" t="n">
        <v>18</v>
      </c>
      <c r="I9" s="5" t="n">
        <f aca="false">G9*(1-H9/100)</f>
        <v>68880</v>
      </c>
      <c r="J9" s="3" t="s">
        <v>46</v>
      </c>
      <c r="K9" s="3" t="s">
        <v>35</v>
      </c>
      <c r="L9" s="3" t="s">
        <v>47</v>
      </c>
    </row>
    <row r="10" customFormat="false" ht="15" hidden="false" customHeight="false" outlineLevel="0" collapsed="false">
      <c r="A10" s="6" t="s">
        <v>48</v>
      </c>
      <c r="B10" s="6" t="s">
        <v>49</v>
      </c>
      <c r="C10" s="6" t="s">
        <v>16</v>
      </c>
      <c r="D10" s="6" t="s">
        <v>45</v>
      </c>
      <c r="E10" s="6" t="n">
        <v>3</v>
      </c>
      <c r="F10" s="7" t="n">
        <v>4500</v>
      </c>
      <c r="G10" s="5" t="n">
        <f aca="false">E10*F10</f>
        <v>13500</v>
      </c>
      <c r="H10" s="6" t="n">
        <v>7</v>
      </c>
      <c r="I10" s="5" t="n">
        <f aca="false">G10*(1-H10/100)</f>
        <v>12555</v>
      </c>
      <c r="J10" s="6" t="s">
        <v>18</v>
      </c>
      <c r="K10" s="6" t="s">
        <v>25</v>
      </c>
      <c r="L10" s="6" t="s">
        <v>32</v>
      </c>
    </row>
    <row r="11" customFormat="false" ht="15" hidden="false" customHeight="false" outlineLevel="0" collapsed="false">
      <c r="A11" s="3" t="s">
        <v>50</v>
      </c>
      <c r="B11" s="3" t="s">
        <v>51</v>
      </c>
      <c r="C11" s="3" t="s">
        <v>29</v>
      </c>
      <c r="D11" s="3" t="s">
        <v>52</v>
      </c>
      <c r="E11" s="3" t="n">
        <v>1</v>
      </c>
      <c r="F11" s="4" t="n">
        <v>2800</v>
      </c>
      <c r="G11" s="5" t="n">
        <f aca="false">E11*F11</f>
        <v>2800</v>
      </c>
      <c r="H11" s="3" t="n">
        <v>0</v>
      </c>
      <c r="I11" s="5" t="n">
        <f aca="false">G11*(1-H11/100)</f>
        <v>2800</v>
      </c>
      <c r="J11" s="3" t="s">
        <v>31</v>
      </c>
      <c r="K11" s="3" t="s">
        <v>19</v>
      </c>
      <c r="L11" s="3" t="s">
        <v>36</v>
      </c>
    </row>
    <row r="12" customFormat="false" ht="15" hidden="false" customHeight="false" outlineLevel="0" collapsed="false">
      <c r="A12" s="6" t="s">
        <v>53</v>
      </c>
      <c r="B12" s="6" t="s">
        <v>54</v>
      </c>
      <c r="C12" s="6" t="s">
        <v>55</v>
      </c>
      <c r="D12" s="6" t="s">
        <v>52</v>
      </c>
      <c r="E12" s="6" t="n">
        <v>5</v>
      </c>
      <c r="F12" s="7" t="n">
        <v>22000</v>
      </c>
      <c r="G12" s="5" t="n">
        <f aca="false">E12*F12</f>
        <v>110000</v>
      </c>
      <c r="H12" s="6" t="n">
        <v>20</v>
      </c>
      <c r="I12" s="5" t="n">
        <f aca="false">G12*(1-H12/100)</f>
        <v>88000</v>
      </c>
      <c r="J12" s="6" t="s">
        <v>24</v>
      </c>
      <c r="K12" s="6" t="s">
        <v>35</v>
      </c>
      <c r="L12" s="6" t="s">
        <v>26</v>
      </c>
    </row>
    <row r="13" customFormat="false" ht="15" hidden="false" customHeight="false" outlineLevel="0" collapsed="false">
      <c r="A13" s="3" t="s">
        <v>56</v>
      </c>
      <c r="B13" s="3" t="s">
        <v>57</v>
      </c>
      <c r="C13" s="3" t="s">
        <v>16</v>
      </c>
      <c r="D13" s="3" t="s">
        <v>58</v>
      </c>
      <c r="E13" s="3" t="n">
        <v>4</v>
      </c>
      <c r="F13" s="4" t="n">
        <v>4500</v>
      </c>
      <c r="G13" s="5" t="n">
        <f aca="false">E13*F13</f>
        <v>18000</v>
      </c>
      <c r="H13" s="3" t="n">
        <v>9</v>
      </c>
      <c r="I13" s="5" t="n">
        <f aca="false">G13*(1-H13/100)</f>
        <v>16380</v>
      </c>
      <c r="J13" s="3" t="s">
        <v>18</v>
      </c>
      <c r="K13" s="3" t="s">
        <v>25</v>
      </c>
      <c r="L13" s="3" t="s">
        <v>20</v>
      </c>
    </row>
    <row r="14" customFormat="false" ht="15" hidden="false" customHeight="false" outlineLevel="0" collapsed="false">
      <c r="A14" s="6" t="s">
        <v>59</v>
      </c>
      <c r="B14" s="6" t="s">
        <v>60</v>
      </c>
      <c r="C14" s="6" t="s">
        <v>29</v>
      </c>
      <c r="D14" s="6" t="s">
        <v>58</v>
      </c>
      <c r="E14" s="6" t="n">
        <v>3</v>
      </c>
      <c r="F14" s="7" t="n">
        <v>2800</v>
      </c>
      <c r="G14" s="5" t="n">
        <f aca="false">E14*F14</f>
        <v>8400</v>
      </c>
      <c r="H14" s="6" t="n">
        <v>4</v>
      </c>
      <c r="I14" s="5" t="n">
        <f aca="false">G14*(1-H14/100)</f>
        <v>8064</v>
      </c>
      <c r="J14" s="6" t="s">
        <v>31</v>
      </c>
      <c r="K14" s="6" t="s">
        <v>19</v>
      </c>
      <c r="L14" s="6" t="s">
        <v>32</v>
      </c>
    </row>
    <row r="15" customFormat="false" ht="15" hidden="false" customHeight="false" outlineLevel="0" collapsed="false">
      <c r="A15" s="3" t="s">
        <v>61</v>
      </c>
      <c r="B15" s="3" t="s">
        <v>62</v>
      </c>
      <c r="C15" s="3" t="s">
        <v>23</v>
      </c>
      <c r="D15" s="3" t="s">
        <v>63</v>
      </c>
      <c r="E15" s="3" t="n">
        <v>6</v>
      </c>
      <c r="F15" s="4" t="n">
        <v>12000</v>
      </c>
      <c r="G15" s="5" t="n">
        <f aca="false">E15*F15</f>
        <v>72000</v>
      </c>
      <c r="H15" s="3" t="n">
        <v>14</v>
      </c>
      <c r="I15" s="5" t="n">
        <f aca="false">G15*(1-H15/100)</f>
        <v>61920</v>
      </c>
      <c r="J15" s="3" t="s">
        <v>46</v>
      </c>
      <c r="K15" s="3" t="s">
        <v>35</v>
      </c>
      <c r="L15" s="3" t="s">
        <v>47</v>
      </c>
    </row>
    <row r="16" customFormat="false" ht="15" hidden="false" customHeight="false" outlineLevel="0" collapsed="false">
      <c r="A16" s="6" t="s">
        <v>64</v>
      </c>
      <c r="B16" s="6" t="s">
        <v>65</v>
      </c>
      <c r="C16" s="6" t="s">
        <v>39</v>
      </c>
      <c r="D16" s="6" t="s">
        <v>63</v>
      </c>
      <c r="E16" s="6" t="n">
        <v>5</v>
      </c>
      <c r="F16" s="7" t="n">
        <v>15000</v>
      </c>
      <c r="G16" s="5" t="n">
        <f aca="false">E16*F16</f>
        <v>75000</v>
      </c>
      <c r="H16" s="6" t="n">
        <v>11</v>
      </c>
      <c r="I16" s="5" t="n">
        <f aca="false">G16*(1-H16/100)</f>
        <v>66750</v>
      </c>
      <c r="J16" s="6" t="s">
        <v>24</v>
      </c>
      <c r="K16" s="6" t="s">
        <v>25</v>
      </c>
      <c r="L16" s="6" t="s">
        <v>26</v>
      </c>
    </row>
    <row r="17" customFormat="false" ht="15" hidden="false" customHeight="false" outlineLevel="0" collapsed="false">
      <c r="A17" s="3" t="s">
        <v>66</v>
      </c>
      <c r="B17" s="3" t="s">
        <v>67</v>
      </c>
      <c r="C17" s="3" t="s">
        <v>55</v>
      </c>
      <c r="D17" s="3" t="s">
        <v>68</v>
      </c>
      <c r="E17" s="3" t="n">
        <v>4</v>
      </c>
      <c r="F17" s="4" t="n">
        <v>22000</v>
      </c>
      <c r="G17" s="5" t="n">
        <f aca="false">E17*F17</f>
        <v>88000</v>
      </c>
      <c r="H17" s="3" t="n">
        <v>22</v>
      </c>
      <c r="I17" s="5" t="n">
        <f aca="false">G17*(1-H17/100)</f>
        <v>68640</v>
      </c>
      <c r="J17" s="3" t="s">
        <v>24</v>
      </c>
      <c r="K17" s="3" t="s">
        <v>19</v>
      </c>
      <c r="L17" s="3" t="s">
        <v>36</v>
      </c>
    </row>
    <row r="18" customFormat="false" ht="15" hidden="false" customHeight="false" outlineLevel="0" collapsed="false">
      <c r="A18" s="6" t="s">
        <v>69</v>
      </c>
      <c r="B18" s="6" t="s">
        <v>70</v>
      </c>
      <c r="C18" s="6" t="s">
        <v>29</v>
      </c>
      <c r="D18" s="6" t="s">
        <v>68</v>
      </c>
      <c r="E18" s="6" t="n">
        <v>2</v>
      </c>
      <c r="F18" s="7" t="n">
        <v>2800</v>
      </c>
      <c r="G18" s="5" t="n">
        <f aca="false">E18*F18</f>
        <v>5600</v>
      </c>
      <c r="H18" s="6" t="n">
        <v>2</v>
      </c>
      <c r="I18" s="5" t="n">
        <f aca="false">G18*(1-H18/100)</f>
        <v>5488</v>
      </c>
      <c r="J18" s="6" t="s">
        <v>31</v>
      </c>
      <c r="K18" s="6" t="s">
        <v>35</v>
      </c>
      <c r="L18" s="6" t="s">
        <v>32</v>
      </c>
    </row>
    <row r="19" customFormat="false" ht="15" hidden="false" customHeight="false" outlineLevel="0" collapsed="false">
      <c r="A19" s="3" t="s">
        <v>71</v>
      </c>
      <c r="B19" s="3" t="s">
        <v>72</v>
      </c>
      <c r="C19" s="3" t="s">
        <v>16</v>
      </c>
      <c r="D19" s="3" t="s">
        <v>73</v>
      </c>
      <c r="E19" s="3" t="n">
        <v>3</v>
      </c>
      <c r="F19" s="4" t="n">
        <v>4500</v>
      </c>
      <c r="G19" s="5" t="n">
        <f aca="false">E19*F19</f>
        <v>13500</v>
      </c>
      <c r="H19" s="3" t="n">
        <v>6</v>
      </c>
      <c r="I19" s="5" t="n">
        <f aca="false">G19*(1-H19/100)</f>
        <v>12690</v>
      </c>
      <c r="J19" s="3" t="s">
        <v>18</v>
      </c>
      <c r="K19" s="3" t="s">
        <v>25</v>
      </c>
      <c r="L19" s="3" t="s">
        <v>20</v>
      </c>
    </row>
    <row r="20" customFormat="false" ht="15" hidden="false" customHeight="false" outlineLevel="0" collapsed="false">
      <c r="A20" s="6" t="s">
        <v>74</v>
      </c>
      <c r="B20" s="6" t="s">
        <v>75</v>
      </c>
      <c r="C20" s="6" t="s">
        <v>23</v>
      </c>
      <c r="D20" s="6" t="s">
        <v>73</v>
      </c>
      <c r="E20" s="6" t="n">
        <v>8</v>
      </c>
      <c r="F20" s="7" t="n">
        <v>12000</v>
      </c>
      <c r="G20" s="5" t="n">
        <f aca="false">E20*F20</f>
        <v>96000</v>
      </c>
      <c r="H20" s="6" t="n">
        <v>16</v>
      </c>
      <c r="I20" s="5" t="n">
        <f aca="false">G20*(1-H20/100)</f>
        <v>80640</v>
      </c>
      <c r="J20" s="6" t="s">
        <v>46</v>
      </c>
      <c r="K20" s="6" t="s">
        <v>19</v>
      </c>
      <c r="L20" s="6" t="s">
        <v>26</v>
      </c>
    </row>
    <row r="21" customFormat="false" ht="15" hidden="false" customHeight="false" outlineLevel="0" collapsed="false">
      <c r="A21" s="3" t="s">
        <v>76</v>
      </c>
      <c r="B21" s="3" t="s">
        <v>77</v>
      </c>
      <c r="C21" s="3" t="s">
        <v>39</v>
      </c>
      <c r="D21" s="3" t="s">
        <v>78</v>
      </c>
      <c r="E21" s="3" t="n">
        <v>5</v>
      </c>
      <c r="F21" s="4" t="n">
        <v>15000</v>
      </c>
      <c r="G21" s="5" t="n">
        <f aca="false">E21*F21</f>
        <v>75000</v>
      </c>
      <c r="H21" s="3" t="n">
        <v>10</v>
      </c>
      <c r="I21" s="5" t="n">
        <f aca="false">G21*(1-H21/100)</f>
        <v>67500</v>
      </c>
      <c r="J21" s="3" t="s">
        <v>24</v>
      </c>
      <c r="K21" s="3" t="s">
        <v>35</v>
      </c>
      <c r="L21" s="3" t="s">
        <v>47</v>
      </c>
    </row>
    <row r="22" customFormat="false" ht="15" hidden="false" customHeight="false" outlineLevel="0" collapsed="false">
      <c r="A22" s="6" t="s">
        <v>79</v>
      </c>
      <c r="B22" s="6" t="s">
        <v>80</v>
      </c>
      <c r="C22" s="6" t="s">
        <v>55</v>
      </c>
      <c r="D22" s="6" t="s">
        <v>78</v>
      </c>
      <c r="E22" s="6" t="n">
        <v>3</v>
      </c>
      <c r="F22" s="7" t="n">
        <v>22000</v>
      </c>
      <c r="G22" s="5" t="n">
        <f aca="false">E22*F22</f>
        <v>66000</v>
      </c>
      <c r="H22" s="6" t="n">
        <v>18</v>
      </c>
      <c r="I22" s="5" t="n">
        <f aca="false">G22*(1-H22/100)</f>
        <v>54120</v>
      </c>
      <c r="J22" s="6" t="s">
        <v>24</v>
      </c>
      <c r="K22" s="6" t="s">
        <v>25</v>
      </c>
      <c r="L22" s="6" t="s">
        <v>36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2"/>
    <col collapsed="false" customWidth="true" hidden="false" outlineLevel="0" max="3" min="3" style="0" width="38"/>
    <col collapsed="false" customWidth="true" hidden="false" outlineLevel="0" max="4" min="4" style="0" width="22"/>
  </cols>
  <sheetData>
    <row r="1" customFormat="false" ht="30" hidden="false" customHeight="true" outlineLevel="0" collapsed="false">
      <c r="A1" s="1" t="s">
        <v>81</v>
      </c>
      <c r="B1" s="1"/>
      <c r="C1" s="1"/>
      <c r="D1" s="1"/>
    </row>
    <row r="2" customFormat="false" ht="30" hidden="false" customHeight="true" outlineLevel="0" collapsed="false">
      <c r="A2" s="2" t="s">
        <v>82</v>
      </c>
      <c r="B2" s="2" t="s">
        <v>83</v>
      </c>
      <c r="C2" s="2" t="s">
        <v>84</v>
      </c>
      <c r="D2" s="2" t="s">
        <v>85</v>
      </c>
      <c r="E2" s="2" t="s">
        <v>86</v>
      </c>
    </row>
    <row r="3" customFormat="false" ht="23.85" hidden="false" customHeight="false" outlineLevel="0" collapsed="false">
      <c r="A3" s="8" t="s">
        <v>87</v>
      </c>
      <c r="B3" s="8" t="s">
        <v>88</v>
      </c>
      <c r="C3" s="8" t="s">
        <v>89</v>
      </c>
      <c r="D3" s="9" t="n">
        <f aca="false">SUM('Booking Data'!I3:I22)</f>
        <v>784089</v>
      </c>
    </row>
    <row r="4" customFormat="false" ht="23.85" hidden="false" customHeight="false" outlineLevel="0" collapsed="false">
      <c r="A4" s="10" t="s">
        <v>90</v>
      </c>
      <c r="B4" s="10" t="s">
        <v>91</v>
      </c>
      <c r="C4" s="10" t="s">
        <v>92</v>
      </c>
      <c r="D4" s="9" t="n">
        <f aca="false">AVERAGE('Booking Data'!E3:E22)</f>
        <v>4.05</v>
      </c>
    </row>
    <row r="5" customFormat="false" ht="23.85" hidden="false" customHeight="false" outlineLevel="0" collapsed="false">
      <c r="A5" s="8" t="s">
        <v>93</v>
      </c>
      <c r="B5" s="8" t="s">
        <v>94</v>
      </c>
      <c r="C5" s="8" t="s">
        <v>95</v>
      </c>
      <c r="D5" s="9" t="n">
        <f aca="false">MAX('Booking Data'!F3:F22)</f>
        <v>22000</v>
      </c>
    </row>
    <row r="6" customFormat="false" ht="15" hidden="false" customHeight="false" outlineLevel="0" collapsed="false">
      <c r="A6" s="10" t="s">
        <v>96</v>
      </c>
      <c r="B6" s="10" t="s">
        <v>97</v>
      </c>
      <c r="C6" s="10" t="s">
        <v>98</v>
      </c>
      <c r="D6" s="9" t="n">
        <f aca="false">MIN('Booking Data'!F3:F22)</f>
        <v>2800</v>
      </c>
    </row>
    <row r="7" customFormat="false" ht="15" hidden="false" customHeight="false" outlineLevel="0" collapsed="false">
      <c r="A7" s="8" t="s">
        <v>99</v>
      </c>
      <c r="B7" s="8" t="s">
        <v>100</v>
      </c>
      <c r="C7" s="8" t="s">
        <v>101</v>
      </c>
      <c r="D7" s="9" t="n">
        <f aca="false">COUNT('Booking Data'!E3:E22)</f>
        <v>20</v>
      </c>
    </row>
    <row r="8" customFormat="false" ht="15" hidden="false" customHeight="false" outlineLevel="0" collapsed="false">
      <c r="A8" s="10" t="s">
        <v>102</v>
      </c>
      <c r="B8" s="10" t="s">
        <v>103</v>
      </c>
      <c r="C8" s="10" t="s">
        <v>104</v>
      </c>
      <c r="D8" s="9" t="n">
        <f aca="false">COUNTIF('Booking Data'!C3:C22,"Suite")</f>
        <v>4</v>
      </c>
    </row>
    <row r="9" customFormat="false" ht="23.85" hidden="false" customHeight="false" outlineLevel="0" collapsed="false">
      <c r="A9" s="8" t="s">
        <v>105</v>
      </c>
      <c r="B9" s="8" t="s">
        <v>106</v>
      </c>
      <c r="C9" s="8" t="s">
        <v>107</v>
      </c>
      <c r="D9" s="9" t="n">
        <f aca="false">SUMIF('Booking Data'!L3:L22,"Goa",'Booking Data'!I3:I22)</f>
        <v>291822</v>
      </c>
    </row>
    <row r="10" customFormat="false" ht="23.85" hidden="false" customHeight="false" outlineLevel="0" collapsed="false">
      <c r="A10" s="10" t="s">
        <v>108</v>
      </c>
      <c r="B10" s="10" t="s">
        <v>109</v>
      </c>
      <c r="C10" s="10" t="s">
        <v>110</v>
      </c>
      <c r="D10" s="9" t="n">
        <f aca="false">AVERAGEIF('Booking Data'!C3:C22,"Penthouse",'Booking Data'!H3:H22)</f>
        <v>20</v>
      </c>
    </row>
    <row r="11" customFormat="false" ht="23.85" hidden="false" customHeight="false" outlineLevel="0" collapsed="false">
      <c r="A11" s="8" t="s">
        <v>111</v>
      </c>
      <c r="B11" s="8" t="s">
        <v>112</v>
      </c>
      <c r="C11" s="8" t="s">
        <v>113</v>
      </c>
      <c r="D11" s="11" t="str">
        <f aca="false">"See Performance column (M) in Booking Data sheet"</f>
        <v>See Performance column (M) in Booking Data sheet</v>
      </c>
    </row>
    <row r="12" customFormat="false" ht="23.85" hidden="false" customHeight="false" outlineLevel="0" collapsed="false">
      <c r="A12" s="10" t="s">
        <v>114</v>
      </c>
      <c r="B12" s="10" t="s">
        <v>115</v>
      </c>
      <c r="C12" s="10" t="s">
        <v>116</v>
      </c>
      <c r="D12" s="9" t="n">
        <f aca="false">VLOOKUP("BK007",'Booking Data'!A3:I22,9,0)</f>
        <v>68880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2"/>
  </cols>
  <sheetData>
    <row r="1" customFormat="false" ht="30" hidden="false" customHeight="true" outlineLevel="0" collapsed="false">
      <c r="A1" s="1" t="s">
        <v>117</v>
      </c>
      <c r="B1" s="1"/>
    </row>
    <row r="2" customFormat="false" ht="24.75" hidden="false" customHeight="true" outlineLevel="0" collapsed="false">
      <c r="A2" s="12" t="s">
        <v>118</v>
      </c>
      <c r="B2" s="12" t="s">
        <v>119</v>
      </c>
    </row>
    <row r="3" customFormat="false" ht="15" hidden="false" customHeight="false" outlineLevel="0" collapsed="false">
      <c r="A3" s="13" t="s">
        <v>120</v>
      </c>
      <c r="B3" s="11" t="n">
        <f aca="false">COUNTA('Booking Data'!A3:A22)</f>
        <v>20</v>
      </c>
    </row>
    <row r="4" customFormat="false" ht="15" hidden="false" customHeight="false" outlineLevel="0" collapsed="false">
      <c r="A4" s="14" t="s">
        <v>121</v>
      </c>
      <c r="B4" s="15" t="n">
        <f aca="false">SUM('Booking Data'!I3:I22)</f>
        <v>784089</v>
      </c>
    </row>
    <row r="5" customFormat="false" ht="15" hidden="false" customHeight="false" outlineLevel="0" collapsed="false">
      <c r="A5" s="13" t="s">
        <v>122</v>
      </c>
      <c r="B5" s="15" t="n">
        <f aca="false">AVERAGE('Booking Data'!I3:I22)</f>
        <v>39204.45</v>
      </c>
    </row>
    <row r="6" customFormat="false" ht="15" hidden="false" customHeight="false" outlineLevel="0" collapsed="false">
      <c r="A6" s="14" t="s">
        <v>123</v>
      </c>
      <c r="B6" s="11" t="n">
        <f aca="false">MAX('Booking Data'!E3:E22)</f>
        <v>8</v>
      </c>
    </row>
    <row r="7" customFormat="false" ht="15" hidden="false" customHeight="false" outlineLevel="0" collapsed="false">
      <c r="A7" s="13" t="s">
        <v>124</v>
      </c>
      <c r="B7" s="11" t="n">
        <f aca="false">MIN('Booking Data'!E3:E22)</f>
        <v>1</v>
      </c>
    </row>
    <row r="8" customFormat="false" ht="15" hidden="false" customHeight="false" outlineLevel="0" collapsed="false">
      <c r="A8" s="14" t="s">
        <v>125</v>
      </c>
      <c r="B8" s="11" t="n">
        <f aca="false">COUNTIF('Booking Data'!C3:C22,"Suite")</f>
        <v>4</v>
      </c>
    </row>
    <row r="9" customFormat="false" ht="15" hidden="false" customHeight="false" outlineLevel="0" collapsed="false">
      <c r="A9" s="13" t="s">
        <v>126</v>
      </c>
      <c r="B9" s="11" t="n">
        <f aca="false">SUMIF('Booking Data'!L3:L22,"Goa",'Booking Data'!I3:I22)</f>
        <v>291822</v>
      </c>
    </row>
    <row r="10" customFormat="false" ht="15" hidden="false" customHeight="false" outlineLevel="0" collapsed="false">
      <c r="A10" s="14" t="s">
        <v>127</v>
      </c>
      <c r="B10" s="11" t="n">
        <f aca="false">AVERAGEIF('Booking Data'!C3:C22,"Penthouse",'Booking Data'!H3:H22)</f>
        <v>20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2026-04-16T03:37:56Z</dcterms:created>
  <dc:creator>openpyxl</dc:creator>
  <dc:description/>
  <dc:language>en-US</dc:language>
  <cp:lastModifiedBy/>
  <dcterms:modified xsi:type="dcterms:W3CDTF">2026-04-16T03:37:56Z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